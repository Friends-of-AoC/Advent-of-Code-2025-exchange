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307131\git\advent-of-code-2025_FH\exercises\day10\Feri\"/>
    </mc:Choice>
  </mc:AlternateContent>
  <xr:revisionPtr revIDLastSave="0" documentId="13_ncr:1_{1D28A804-1275-46EC-96E8-A68A46E3E3ED}" xr6:coauthVersionLast="47" xr6:coauthVersionMax="47" xr10:uidLastSave="{00000000-0000-0000-0000-000000000000}"/>
  <bookViews>
    <workbookView xWindow="-110" yWindow="-110" windowWidth="38620" windowHeight="21100" xr2:uid="{E2D692EB-BCA9-4A7C-862B-C1A4D2F02C5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9" i="1" l="1"/>
  <c r="U96" i="1"/>
  <c r="U93" i="1"/>
  <c r="T94" i="1"/>
  <c r="T92" i="1"/>
  <c r="T90" i="1"/>
  <c r="S95" i="1"/>
  <c r="S93" i="1"/>
  <c r="S91" i="1"/>
  <c r="Q90" i="1"/>
  <c r="W90" i="1" s="1"/>
  <c r="Y90" i="1" s="1"/>
  <c r="P93" i="1"/>
  <c r="P92" i="1"/>
  <c r="V99" i="1"/>
  <c r="W99" i="1"/>
  <c r="Y99" i="1" s="1"/>
  <c r="P99" i="1"/>
  <c r="V98" i="1"/>
  <c r="T98" i="1"/>
  <c r="S98" i="1"/>
  <c r="Q98" i="1"/>
  <c r="V97" i="1"/>
  <c r="S97" i="1"/>
  <c r="P97" i="1"/>
  <c r="V96" i="1"/>
  <c r="S96" i="1"/>
  <c r="V95" i="1"/>
  <c r="W95" i="1"/>
  <c r="Y95" i="1" s="1"/>
  <c r="V94" i="1"/>
  <c r="V93" i="1"/>
  <c r="T93" i="1"/>
  <c r="U92" i="1"/>
  <c r="W91" i="1"/>
  <c r="Y91" i="1" s="1"/>
  <c r="R90" i="1"/>
  <c r="W89" i="1"/>
  <c r="V82" i="1"/>
  <c r="V81" i="1"/>
  <c r="V79" i="1"/>
  <c r="V80" i="1"/>
  <c r="W75" i="1"/>
  <c r="U78" i="1"/>
  <c r="U80" i="1"/>
  <c r="U77" i="1"/>
  <c r="U76" i="1"/>
  <c r="T79" i="1"/>
  <c r="T82" i="1"/>
  <c r="S82" i="1"/>
  <c r="R82" i="1"/>
  <c r="R78" i="1"/>
  <c r="P81" i="1"/>
  <c r="P82" i="1"/>
  <c r="Q82" i="1"/>
  <c r="P80" i="1"/>
  <c r="P77" i="1"/>
  <c r="Q80" i="1"/>
  <c r="Q77" i="1"/>
  <c r="R76" i="1"/>
  <c r="P76" i="1"/>
  <c r="T68" i="1"/>
  <c r="T67" i="1"/>
  <c r="R67" i="1"/>
  <c r="R65" i="1"/>
  <c r="R64" i="1"/>
  <c r="Q68" i="1"/>
  <c r="Q67" i="1"/>
  <c r="U65" i="1"/>
  <c r="T65" i="1"/>
  <c r="Q65" i="1"/>
  <c r="Q64" i="1"/>
  <c r="P67" i="1"/>
  <c r="U68" i="1"/>
  <c r="P66" i="1"/>
  <c r="V66" i="1" s="1"/>
  <c r="X66" i="1" s="1"/>
  <c r="S65" i="1"/>
  <c r="P64" i="1"/>
  <c r="V63" i="1"/>
  <c r="U56" i="1"/>
  <c r="R56" i="1"/>
  <c r="V56" i="1" s="1"/>
  <c r="X56" i="1" s="1"/>
  <c r="R55" i="1"/>
  <c r="Q55" i="1"/>
  <c r="P55" i="1"/>
  <c r="V55" i="1" s="1"/>
  <c r="X55" i="1" s="1"/>
  <c r="U54" i="1"/>
  <c r="T54" i="1"/>
  <c r="S54" i="1"/>
  <c r="V54" i="1" s="1"/>
  <c r="X54" i="1" s="1"/>
  <c r="T53" i="1"/>
  <c r="R53" i="1"/>
  <c r="P53" i="1"/>
  <c r="V53" i="1" s="1"/>
  <c r="X53" i="1" s="1"/>
  <c r="V52" i="1"/>
  <c r="V44" i="1"/>
  <c r="U48" i="1"/>
  <c r="U46" i="1"/>
  <c r="T46" i="1"/>
  <c r="S46" i="1"/>
  <c r="T45" i="1"/>
  <c r="R47" i="1"/>
  <c r="Q47" i="1"/>
  <c r="R48" i="1"/>
  <c r="P47" i="1"/>
  <c r="R45" i="1"/>
  <c r="P45" i="1"/>
  <c r="AH21" i="1"/>
  <c r="AG21" i="1"/>
  <c r="AK21" i="1" s="1"/>
  <c r="AM21" i="1" s="1"/>
  <c r="AI20" i="1"/>
  <c r="AF20" i="1"/>
  <c r="AK20" i="1" s="1"/>
  <c r="AM20" i="1" s="1"/>
  <c r="AG19" i="1"/>
  <c r="AF19" i="1"/>
  <c r="AK19" i="1" s="1"/>
  <c r="AM19" i="1" s="1"/>
  <c r="AI18" i="1"/>
  <c r="AH18" i="1"/>
  <c r="AF18" i="1"/>
  <c r="AK17" i="1"/>
  <c r="AH11" i="1"/>
  <c r="AG9" i="1"/>
  <c r="AF9" i="1"/>
  <c r="AG11" i="1"/>
  <c r="AK11" i="1" s="1"/>
  <c r="AM11" i="1" s="1"/>
  <c r="AI10" i="1"/>
  <c r="AF10" i="1"/>
  <c r="AI8" i="1"/>
  <c r="AH8" i="1"/>
  <c r="AF8" i="1"/>
  <c r="AK8" i="1" s="1"/>
  <c r="AM8" i="1" s="1"/>
  <c r="AK7" i="1"/>
  <c r="R32" i="1"/>
  <c r="S32" i="1"/>
  <c r="S31" i="1"/>
  <c r="R35" i="1"/>
  <c r="R31" i="1"/>
  <c r="Q34" i="1"/>
  <c r="Q30" i="1"/>
  <c r="P31" i="1"/>
  <c r="R34" i="1"/>
  <c r="P34" i="1"/>
  <c r="Q33" i="1"/>
  <c r="P33" i="1"/>
  <c r="U33" i="1" s="1"/>
  <c r="W33" i="1" s="1"/>
  <c r="P32" i="1"/>
  <c r="R30" i="1"/>
  <c r="P30" i="1"/>
  <c r="U29" i="1"/>
  <c r="P18" i="1"/>
  <c r="P19" i="1"/>
  <c r="P20" i="1"/>
  <c r="P16" i="1"/>
  <c r="T20" i="1"/>
  <c r="R20" i="1"/>
  <c r="U20" i="1"/>
  <c r="T19" i="1"/>
  <c r="Q19" i="1"/>
  <c r="T18" i="1"/>
  <c r="S18" i="1"/>
  <c r="Q18" i="1"/>
  <c r="T17" i="1"/>
  <c r="S17" i="1"/>
  <c r="U17" i="1" s="1"/>
  <c r="W17" i="1" s="1"/>
  <c r="U15" i="1"/>
  <c r="T9" i="1"/>
  <c r="T8" i="1"/>
  <c r="T7" i="1"/>
  <c r="T6" i="1"/>
  <c r="R9" i="1"/>
  <c r="S7" i="1"/>
  <c r="P9" i="1"/>
  <c r="U9" i="1" s="1"/>
  <c r="W9" i="1" s="1"/>
  <c r="P8" i="1"/>
  <c r="P7" i="1"/>
  <c r="P5" i="1"/>
  <c r="Q8" i="1"/>
  <c r="Q7" i="1"/>
  <c r="R5" i="1"/>
  <c r="S6" i="1"/>
  <c r="G61" i="1"/>
  <c r="E61" i="1"/>
  <c r="D61" i="1"/>
  <c r="H60" i="1"/>
  <c r="G60" i="1"/>
  <c r="F60" i="1"/>
  <c r="J60" i="1" s="1"/>
  <c r="L60" i="1" s="1"/>
  <c r="I59" i="1"/>
  <c r="E59" i="1"/>
  <c r="J59" i="1" s="1"/>
  <c r="L59" i="1" s="1"/>
  <c r="I58" i="1"/>
  <c r="H58" i="1"/>
  <c r="J58" i="1" s="1"/>
  <c r="L58" i="1" s="1"/>
  <c r="J57" i="1"/>
  <c r="F51" i="1"/>
  <c r="E52" i="1"/>
  <c r="E50" i="1"/>
  <c r="I50" i="1"/>
  <c r="D52" i="1"/>
  <c r="G52" i="1"/>
  <c r="I38" i="1"/>
  <c r="I41" i="1" s="1"/>
  <c r="J41" i="1" s="1"/>
  <c r="L41" i="1" s="1"/>
  <c r="G38" i="1"/>
  <c r="G40" i="1" s="1"/>
  <c r="E29" i="1"/>
  <c r="F28" i="1"/>
  <c r="E28" i="1"/>
  <c r="F26" i="1"/>
  <c r="I25" i="1"/>
  <c r="I28" i="1" s="1"/>
  <c r="G25" i="1"/>
  <c r="G27" i="1" s="1"/>
  <c r="D25" i="1"/>
  <c r="D29" i="1" s="1"/>
  <c r="G4" i="1"/>
  <c r="D4" i="1" s="1"/>
  <c r="F7" i="1"/>
  <c r="F5" i="1"/>
  <c r="E8" i="1"/>
  <c r="E7" i="1"/>
  <c r="W92" i="1" l="1"/>
  <c r="Y92" i="1" s="1"/>
  <c r="W97" i="1"/>
  <c r="Y97" i="1" s="1"/>
  <c r="W93" i="1"/>
  <c r="Y93" i="1" s="1"/>
  <c r="W94" i="1"/>
  <c r="Y94" i="1" s="1"/>
  <c r="W96" i="1"/>
  <c r="Y96" i="1" s="1"/>
  <c r="P98" i="1"/>
  <c r="W98" i="1" s="1"/>
  <c r="Y98" i="1" s="1"/>
  <c r="W81" i="1"/>
  <c r="Y81" i="1" s="1"/>
  <c r="W78" i="1"/>
  <c r="Y78" i="1" s="1"/>
  <c r="W76" i="1"/>
  <c r="Y76" i="1" s="1"/>
  <c r="W77" i="1"/>
  <c r="Y77" i="1" s="1"/>
  <c r="W79" i="1"/>
  <c r="Y79" i="1" s="1"/>
  <c r="W82" i="1"/>
  <c r="Y82" i="1" s="1"/>
  <c r="W80" i="1"/>
  <c r="Y80" i="1" s="1"/>
  <c r="V64" i="1"/>
  <c r="X64" i="1" s="1"/>
  <c r="V68" i="1"/>
  <c r="X68" i="1" s="1"/>
  <c r="V65" i="1"/>
  <c r="X65" i="1" s="1"/>
  <c r="V67" i="1"/>
  <c r="X67" i="1" s="1"/>
  <c r="V48" i="1"/>
  <c r="X48" i="1" s="1"/>
  <c r="V47" i="1"/>
  <c r="X47" i="1" s="1"/>
  <c r="V45" i="1"/>
  <c r="V46" i="1"/>
  <c r="X46" i="1" s="1"/>
  <c r="X45" i="1"/>
  <c r="AK18" i="1"/>
  <c r="AM18" i="1" s="1"/>
  <c r="AK9" i="1"/>
  <c r="AM9" i="1" s="1"/>
  <c r="AK10" i="1"/>
  <c r="AM10" i="1" s="1"/>
  <c r="J61" i="1"/>
  <c r="L61" i="1" s="1"/>
  <c r="U32" i="1"/>
  <c r="W32" i="1" s="1"/>
  <c r="U30" i="1"/>
  <c r="W30" i="1" s="1"/>
  <c r="U34" i="1"/>
  <c r="W34" i="1" s="1"/>
  <c r="U35" i="1"/>
  <c r="W35" i="1" s="1"/>
  <c r="U31" i="1"/>
  <c r="W31" i="1" s="1"/>
  <c r="U18" i="1"/>
  <c r="W18" i="1" s="1"/>
  <c r="W20" i="1"/>
  <c r="U16" i="1"/>
  <c r="W16" i="1" s="1"/>
  <c r="U19" i="1"/>
  <c r="W19" i="1" s="1"/>
  <c r="U8" i="1"/>
  <c r="W8" i="1" s="1"/>
  <c r="U7" i="1"/>
  <c r="W7" i="1" s="1"/>
  <c r="U4" i="1"/>
  <c r="S5" i="1"/>
  <c r="U5" i="1" s="1"/>
  <c r="W5" i="1" s="1"/>
  <c r="U6" i="1"/>
  <c r="W6" i="1" s="1"/>
  <c r="G51" i="1"/>
  <c r="I49" i="1"/>
  <c r="J50" i="1"/>
  <c r="L50" i="1" s="1"/>
  <c r="D38" i="1"/>
  <c r="G39" i="1"/>
  <c r="J39" i="1" s="1"/>
  <c r="L39" i="1" s="1"/>
  <c r="H25" i="1"/>
  <c r="H29" i="1" s="1"/>
  <c r="J29" i="1" s="1"/>
  <c r="L29" i="1" s="1"/>
  <c r="J28" i="1"/>
  <c r="L28" i="1" s="1"/>
  <c r="J25" i="1"/>
  <c r="G26" i="1"/>
  <c r="J26" i="1" s="1"/>
  <c r="L26" i="1" s="1"/>
  <c r="D27" i="1"/>
  <c r="J27" i="1" s="1"/>
  <c r="L27" i="1" s="1"/>
  <c r="I4" i="1"/>
  <c r="I7" i="1" s="1"/>
  <c r="J7" i="1" s="1"/>
  <c r="L7" i="1" s="1"/>
  <c r="G5" i="1"/>
  <c r="G6" i="1"/>
  <c r="D8" i="1"/>
  <c r="D6" i="1"/>
  <c r="J5" i="1"/>
  <c r="L5" i="1" s="1"/>
  <c r="D40" i="1" l="1"/>
  <c r="J40" i="1" s="1"/>
  <c r="L40" i="1" s="1"/>
  <c r="D42" i="1"/>
  <c r="H4" i="1"/>
  <c r="J6" i="1"/>
  <c r="L6" i="1" s="1"/>
  <c r="H51" i="1" l="1"/>
  <c r="J51" i="1" s="1"/>
  <c r="L51" i="1" s="1"/>
  <c r="H49" i="1"/>
  <c r="J49" i="1" s="1"/>
  <c r="L49" i="1" s="1"/>
  <c r="J52" i="1"/>
  <c r="L52" i="1" s="1"/>
  <c r="J48" i="1"/>
  <c r="H38" i="1"/>
  <c r="H8" i="1"/>
  <c r="J8" i="1" s="1"/>
  <c r="L8" i="1" s="1"/>
  <c r="J4" i="1"/>
  <c r="H42" i="1" l="1"/>
  <c r="J42" i="1" s="1"/>
  <c r="L42" i="1" s="1"/>
  <c r="J38" i="1"/>
</calcChain>
</file>

<file path=xl/sharedStrings.xml><?xml version="1.0" encoding="utf-8"?>
<sst xmlns="http://schemas.openxmlformats.org/spreadsheetml/2006/main" count="194" uniqueCount="35">
  <si>
    <t>solve: [3, 5, 4, 7], buttons: [[1, 3], [2, 3], [0, 2], [0, 1], [3], [2]]</t>
  </si>
  <si>
    <t>J1</t>
  </si>
  <si>
    <t>J2</t>
  </si>
  <si>
    <t>J3</t>
  </si>
  <si>
    <t>J0</t>
  </si>
  <si>
    <t>Buttons:</t>
  </si>
  <si>
    <t>a</t>
  </si>
  <si>
    <t>b</t>
  </si>
  <si>
    <t>c</t>
  </si>
  <si>
    <t>d</t>
  </si>
  <si>
    <t>e</t>
  </si>
  <si>
    <t>f</t>
  </si>
  <si>
    <t>c+d=J0</t>
  </si>
  <si>
    <t>a+d=J1</t>
  </si>
  <si>
    <t>b+c+f=J2</t>
  </si>
  <si>
    <t>a+b+e=J3</t>
  </si>
  <si>
    <t>c+(J1-a)=J0</t>
  </si>
  <si>
    <t>c-a=J1-J0</t>
  </si>
  <si>
    <t>J4</t>
  </si>
  <si>
    <t xml:space="preserve"> </t>
  </si>
  <si>
    <t>solve: [7, 5, 12, 7, 2], buttons: [[0, 2, 3, 4], [2, 3], [0, 4], [0, 1, 2], [1, 2, 3, 4]], solution=003333311111</t>
  </si>
  <si>
    <t>solve: targetJoltages=[10, 11, 11, 5, 10, 5], buttons=[[0, 1, 2, 3, 4], [0, 3, 4], [0, 1, 2, 4, 5], [1, 2]]</t>
  </si>
  <si>
    <t>J5</t>
  </si>
  <si>
    <t>InputData[lights=.##., buttons=[[0, 1, 2], [1, 3], [0, 3], [0, 2]], nums=[24, 21, 13, 22]]</t>
  </si>
  <si>
    <t>solve: targetJoltages=[24, 21, 13, 22], buttons=[[0, 1, 2], [1, 3], [0, 3], [0, 2]]</t>
  </si>
  <si>
    <t>solved: [-11, 56, 13, 22] (80)</t>
  </si>
  <si>
    <t>Found solution in 35 steps         [10, 11, 11, 3]</t>
  </si>
  <si>
    <t>buttons=[[0, 2], [2], [0, 2, 3], [1], [0, 1], [1, 3]], nums=[31, 36, 47, 38]]</t>
  </si>
  <si>
    <t>solve: targetJoltages=[29, 50, 12, 35, 38], buttons=[[0, 2, 3], [0, 1, 3, 4], [0, 1, 3], [1], [1, 3, 4], [1, 4]]</t>
  </si>
  <si>
    <t>InputData[lineNr=1, lights=#.#...#, buttons=[[0, 1, 4, 5, 6], [1, 4, 6], [0, 2, 6], [6], [3, 6], [0, 1, 2, 4], [3, 4, 5, 6]], nums=[37, 36, 24, 26, 42, 19, 74]]</t>
  </si>
  <si>
    <t>J6</t>
  </si>
  <si>
    <t>InputData[lineNr=2, lights=##.#.#####, buttons=[[2, 3, 7, 8, 9], [0, 8], [0], [1, 3, 5, 6, 7, 8], [0, 2, 3, 4, 8], [2, 3, 6, 9], [0, 3, 4], [6, 8], [5], [0, 2, 5, 7, 9], [0, 1, 3, 4, 5, 6, 7, 9], [1, 2, 3, 6, 7, 8, 9]], nums=[45, 36, 41, 62, 20, 34, 51, 51, 33, 55]]</t>
  </si>
  <si>
    <t>J7</t>
  </si>
  <si>
    <t>J8</t>
  </si>
  <si>
    <t>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</si>
</sst>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4"/>
      <color rgb="FF00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2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1" applyAlignment="1">
      <alignment horizontal="center"/>
    </xf>
    <xf numFmtId="0" fontId="1" fillId="2" borderId="0" xfId="1"/>
    <xf numFmtId="0" fontId="2" fillId="3" borderId="1" xfId="2"/>
    <xf numFmtId="0" fontId="2" fillId="3" borderId="1" xfId="2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0" xfId="0" applyFill="1"/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</cellXfs>
  <cellStyles count="3">
    <cellStyle name="Eingabe" xfId="2" builtinId="20"/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12A3-E0E4-48D1-9349-12D3136C02CE}">
  <dimension ref="A1:AM99"/>
  <sheetViews>
    <sheetView tabSelected="1" topLeftCell="I49" workbookViewId="0">
      <selection activeCell="P86" sqref="P86"/>
    </sheetView>
  </sheetViews>
  <sheetFormatPr baseColWidth="10" defaultRowHeight="14.5" x14ac:dyDescent="0.35"/>
  <cols>
    <col min="36" max="36" width="2.36328125" customWidth="1"/>
    <col min="37" max="37" width="6.90625" customWidth="1"/>
  </cols>
  <sheetData>
    <row r="1" spans="1:39" ht="18" x14ac:dyDescent="0.4">
      <c r="A1" s="1" t="s">
        <v>0</v>
      </c>
      <c r="O1" s="1" t="s">
        <v>20</v>
      </c>
      <c r="AE1" s="31" t="s">
        <v>23</v>
      </c>
    </row>
    <row r="2" spans="1:39" ht="18.5" thickBot="1" x14ac:dyDescent="0.4">
      <c r="D2" s="2"/>
      <c r="E2" s="2"/>
      <c r="F2" s="2"/>
      <c r="G2" s="2"/>
      <c r="H2" s="2"/>
      <c r="I2" s="2"/>
      <c r="AE2" s="31" t="s">
        <v>24</v>
      </c>
    </row>
    <row r="3" spans="1:39" ht="18.5" thickBot="1" x14ac:dyDescent="0.4"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P3" s="24" t="s">
        <v>6</v>
      </c>
      <c r="Q3" s="25" t="s">
        <v>7</v>
      </c>
      <c r="R3" s="25" t="s">
        <v>8</v>
      </c>
      <c r="S3" s="25" t="s">
        <v>9</v>
      </c>
      <c r="T3" s="25" t="s">
        <v>10</v>
      </c>
      <c r="AE3" s="31" t="s">
        <v>25</v>
      </c>
    </row>
    <row r="4" spans="1:39" ht="15" thickBot="1" x14ac:dyDescent="0.4">
      <c r="C4" t="s">
        <v>5</v>
      </c>
      <c r="D4" s="8">
        <f>K6-G4</f>
        <v>5</v>
      </c>
      <c r="E4" s="3">
        <v>1</v>
      </c>
      <c r="F4" s="3">
        <v>3</v>
      </c>
      <c r="G4" s="5">
        <f>K5-F4</f>
        <v>0</v>
      </c>
      <c r="H4" s="8">
        <f>K8-E8-D8</f>
        <v>1</v>
      </c>
      <c r="I4" s="8">
        <f>K7-F7-E7</f>
        <v>0</v>
      </c>
      <c r="J4">
        <f>SUM(D4:I4)</f>
        <v>10</v>
      </c>
      <c r="O4" t="s">
        <v>5</v>
      </c>
      <c r="P4" s="13">
        <v>2</v>
      </c>
      <c r="Q4" s="14">
        <v>5</v>
      </c>
      <c r="R4" s="14">
        <v>0</v>
      </c>
      <c r="S4" s="14">
        <v>5</v>
      </c>
      <c r="T4" s="15">
        <v>0</v>
      </c>
      <c r="U4">
        <f t="shared" ref="U4:U9" si="0">SUM(P4:T4)</f>
        <v>12</v>
      </c>
    </row>
    <row r="5" spans="1:39" ht="15" thickBot="1" x14ac:dyDescent="0.4">
      <c r="C5" t="s">
        <v>4</v>
      </c>
      <c r="D5" s="4"/>
      <c r="E5" s="4"/>
      <c r="F5" s="4">
        <f>F4</f>
        <v>3</v>
      </c>
      <c r="G5" s="4">
        <f>G4</f>
        <v>0</v>
      </c>
      <c r="H5" s="4"/>
      <c r="I5" s="4"/>
      <c r="J5">
        <f>SUM(D5:I5)</f>
        <v>3</v>
      </c>
      <c r="K5">
        <v>3</v>
      </c>
      <c r="L5">
        <f>K5-J5</f>
        <v>0</v>
      </c>
      <c r="O5" t="s">
        <v>4</v>
      </c>
      <c r="P5" s="16">
        <f>P4</f>
        <v>2</v>
      </c>
      <c r="Q5" s="17" t="s">
        <v>19</v>
      </c>
      <c r="R5" s="17">
        <f>R4</f>
        <v>0</v>
      </c>
      <c r="S5" s="17">
        <f>S4</f>
        <v>5</v>
      </c>
      <c r="T5" s="18"/>
      <c r="U5">
        <f t="shared" si="0"/>
        <v>7</v>
      </c>
      <c r="V5">
        <v>7</v>
      </c>
      <c r="W5">
        <f>V5-U5</f>
        <v>0</v>
      </c>
    </row>
    <row r="6" spans="1:39" ht="15" thickBot="1" x14ac:dyDescent="0.4">
      <c r="C6" t="s">
        <v>1</v>
      </c>
      <c r="D6" s="4">
        <f>D4</f>
        <v>5</v>
      </c>
      <c r="E6" s="4"/>
      <c r="F6" s="4"/>
      <c r="G6" s="4">
        <f>G4</f>
        <v>0</v>
      </c>
      <c r="H6" s="4"/>
      <c r="I6" s="4"/>
      <c r="J6">
        <f>SUM(D6:I6)</f>
        <v>5</v>
      </c>
      <c r="K6">
        <v>5</v>
      </c>
      <c r="L6">
        <f>K6-J6</f>
        <v>0</v>
      </c>
      <c r="O6" t="s">
        <v>1</v>
      </c>
      <c r="P6" s="19"/>
      <c r="Q6" s="4"/>
      <c r="R6" s="4"/>
      <c r="S6" s="4">
        <f>S4</f>
        <v>5</v>
      </c>
      <c r="T6" s="20">
        <f>T4</f>
        <v>0</v>
      </c>
      <c r="U6">
        <f t="shared" si="0"/>
        <v>5</v>
      </c>
      <c r="V6">
        <v>5</v>
      </c>
      <c r="W6">
        <f>V6-U6</f>
        <v>0</v>
      </c>
      <c r="AF6" s="24" t="s">
        <v>6</v>
      </c>
      <c r="AG6" s="25" t="s">
        <v>7</v>
      </c>
      <c r="AH6" s="25" t="s">
        <v>8</v>
      </c>
      <c r="AI6" s="32" t="s">
        <v>9</v>
      </c>
    </row>
    <row r="7" spans="1:39" ht="15" thickBot="1" x14ac:dyDescent="0.4">
      <c r="C7" t="s">
        <v>2</v>
      </c>
      <c r="D7" s="4"/>
      <c r="E7" s="4">
        <f>E4</f>
        <v>1</v>
      </c>
      <c r="F7" s="4">
        <f>F4</f>
        <v>3</v>
      </c>
      <c r="G7" s="4"/>
      <c r="H7" s="4"/>
      <c r="I7" s="4">
        <f>I4</f>
        <v>0</v>
      </c>
      <c r="J7">
        <f>SUM(D7:I7)</f>
        <v>4</v>
      </c>
      <c r="K7">
        <v>4</v>
      </c>
      <c r="L7">
        <f>K7-J7</f>
        <v>0</v>
      </c>
      <c r="O7" t="s">
        <v>2</v>
      </c>
      <c r="P7" s="19">
        <f>P4</f>
        <v>2</v>
      </c>
      <c r="Q7" s="4">
        <f>Q4</f>
        <v>5</v>
      </c>
      <c r="R7" s="4"/>
      <c r="S7" s="4">
        <f>S4</f>
        <v>5</v>
      </c>
      <c r="T7" s="19">
        <f>T4</f>
        <v>0</v>
      </c>
      <c r="U7">
        <f t="shared" si="0"/>
        <v>12</v>
      </c>
      <c r="V7">
        <v>12</v>
      </c>
      <c r="W7">
        <f>V7-U7</f>
        <v>0</v>
      </c>
      <c r="AE7" t="s">
        <v>5</v>
      </c>
      <c r="AF7" s="33">
        <v>-11</v>
      </c>
      <c r="AG7" s="34">
        <v>56</v>
      </c>
      <c r="AH7" s="34">
        <v>13</v>
      </c>
      <c r="AI7" s="35">
        <v>22</v>
      </c>
      <c r="AK7">
        <f t="shared" ref="AK7:AK11" si="1">SUM(AF7:AJ7)</f>
        <v>80</v>
      </c>
    </row>
    <row r="8" spans="1:39" x14ac:dyDescent="0.35">
      <c r="C8" t="s">
        <v>3</v>
      </c>
      <c r="D8" s="4">
        <f>D4</f>
        <v>5</v>
      </c>
      <c r="E8" s="4">
        <f>E4</f>
        <v>1</v>
      </c>
      <c r="F8" s="4"/>
      <c r="G8" s="4"/>
      <c r="H8" s="4">
        <f>H4</f>
        <v>1</v>
      </c>
      <c r="I8" s="4"/>
      <c r="J8">
        <f>SUM(D8:I8)</f>
        <v>7</v>
      </c>
      <c r="K8">
        <v>7</v>
      </c>
      <c r="L8">
        <f>K8-J8</f>
        <v>0</v>
      </c>
      <c r="O8" t="s">
        <v>3</v>
      </c>
      <c r="P8" s="19">
        <f>P4</f>
        <v>2</v>
      </c>
      <c r="Q8" s="4">
        <f>Q4</f>
        <v>5</v>
      </c>
      <c r="R8" s="4"/>
      <c r="S8" s="4"/>
      <c r="T8" s="19">
        <f>T4</f>
        <v>0</v>
      </c>
      <c r="U8">
        <f t="shared" si="0"/>
        <v>7</v>
      </c>
      <c r="V8">
        <v>7</v>
      </c>
      <c r="W8">
        <f>V8-U8</f>
        <v>0</v>
      </c>
      <c r="AE8" t="s">
        <v>4</v>
      </c>
      <c r="AF8" s="16">
        <f>AF7</f>
        <v>-11</v>
      </c>
      <c r="AG8" s="17" t="s">
        <v>19</v>
      </c>
      <c r="AH8" s="17">
        <f>AH7</f>
        <v>13</v>
      </c>
      <c r="AI8" s="18">
        <f>AI7</f>
        <v>22</v>
      </c>
      <c r="AK8">
        <f t="shared" si="1"/>
        <v>24</v>
      </c>
      <c r="AL8">
        <v>24</v>
      </c>
      <c r="AM8">
        <f>AL8-AK8</f>
        <v>0</v>
      </c>
    </row>
    <row r="9" spans="1:39" ht="15" thickBot="1" x14ac:dyDescent="0.4">
      <c r="O9" t="s">
        <v>18</v>
      </c>
      <c r="P9" s="21">
        <f>P4</f>
        <v>2</v>
      </c>
      <c r="Q9" s="22"/>
      <c r="R9" s="22">
        <f>R4</f>
        <v>0</v>
      </c>
      <c r="S9" s="22"/>
      <c r="T9" s="21">
        <f>T4</f>
        <v>0</v>
      </c>
      <c r="U9">
        <f t="shared" si="0"/>
        <v>2</v>
      </c>
      <c r="V9">
        <v>2</v>
      </c>
      <c r="W9">
        <f>V9-U9</f>
        <v>0</v>
      </c>
      <c r="AE9" t="s">
        <v>1</v>
      </c>
      <c r="AF9" s="19">
        <f>AF7</f>
        <v>-11</v>
      </c>
      <c r="AG9" s="4">
        <f>AG7</f>
        <v>56</v>
      </c>
      <c r="AH9" s="4"/>
      <c r="AI9" s="20"/>
      <c r="AK9">
        <f t="shared" si="1"/>
        <v>45</v>
      </c>
      <c r="AL9">
        <v>21</v>
      </c>
      <c r="AM9">
        <f>AL9-AK9</f>
        <v>-24</v>
      </c>
    </row>
    <row r="10" spans="1:39" x14ac:dyDescent="0.35">
      <c r="AE10" t="s">
        <v>2</v>
      </c>
      <c r="AF10" s="19">
        <f>AF7</f>
        <v>-11</v>
      </c>
      <c r="AG10" s="4"/>
      <c r="AH10" s="4"/>
      <c r="AI10" s="20">
        <f>AI7</f>
        <v>22</v>
      </c>
      <c r="AK10">
        <f t="shared" si="1"/>
        <v>11</v>
      </c>
      <c r="AL10">
        <v>13</v>
      </c>
      <c r="AM10">
        <f>AL10-AK10</f>
        <v>2</v>
      </c>
    </row>
    <row r="11" spans="1:39" ht="15" thickBot="1" x14ac:dyDescent="0.4">
      <c r="AE11" t="s">
        <v>3</v>
      </c>
      <c r="AF11" s="21"/>
      <c r="AG11" s="22">
        <f>AG7</f>
        <v>56</v>
      </c>
      <c r="AH11" s="22">
        <f>AH7</f>
        <v>13</v>
      </c>
      <c r="AI11" s="23"/>
      <c r="AK11">
        <f t="shared" si="1"/>
        <v>69</v>
      </c>
      <c r="AL11">
        <v>22</v>
      </c>
      <c r="AM11">
        <f>AL11-AK11</f>
        <v>-47</v>
      </c>
    </row>
    <row r="13" spans="1:39" ht="15" thickBot="1" x14ac:dyDescent="0.4"/>
    <row r="14" spans="1:39" ht="15" thickBot="1" x14ac:dyDescent="0.4">
      <c r="D14" s="6" t="s">
        <v>12</v>
      </c>
      <c r="F14" t="s">
        <v>16</v>
      </c>
      <c r="G14" t="s">
        <v>17</v>
      </c>
      <c r="P14" s="24" t="s">
        <v>6</v>
      </c>
      <c r="Q14" s="25" t="s">
        <v>7</v>
      </c>
      <c r="R14" s="25" t="s">
        <v>8</v>
      </c>
      <c r="S14" s="25" t="s">
        <v>9</v>
      </c>
      <c r="T14" s="25" t="s">
        <v>10</v>
      </c>
      <c r="AE14" t="s">
        <v>26</v>
      </c>
    </row>
    <row r="15" spans="1:39" ht="15" thickBot="1" x14ac:dyDescent="0.4">
      <c r="D15" s="7" t="s">
        <v>13</v>
      </c>
      <c r="O15" t="s">
        <v>5</v>
      </c>
      <c r="P15" s="26">
        <v>2</v>
      </c>
      <c r="Q15" s="14">
        <v>5</v>
      </c>
      <c r="R15" s="14">
        <v>0</v>
      </c>
      <c r="S15" s="14">
        <v>5</v>
      </c>
      <c r="T15" s="15">
        <v>0</v>
      </c>
      <c r="U15">
        <f t="shared" ref="U15:U20" si="2">SUM(P15:T15)</f>
        <v>12</v>
      </c>
    </row>
    <row r="16" spans="1:39" ht="15" thickBot="1" x14ac:dyDescent="0.4">
      <c r="D16" t="s">
        <v>14</v>
      </c>
      <c r="O16" t="s">
        <v>4</v>
      </c>
      <c r="P16" s="30">
        <f>P15</f>
        <v>2</v>
      </c>
      <c r="Q16" s="28" t="s">
        <v>19</v>
      </c>
      <c r="R16" s="28"/>
      <c r="S16" s="28"/>
      <c r="T16" s="29"/>
      <c r="U16">
        <f t="shared" si="2"/>
        <v>2</v>
      </c>
      <c r="V16" s="27">
        <v>2</v>
      </c>
      <c r="W16">
        <f>V16-U16</f>
        <v>0</v>
      </c>
      <c r="Z16">
        <v>5</v>
      </c>
      <c r="AF16" s="24" t="s">
        <v>6</v>
      </c>
      <c r="AG16" s="25" t="s">
        <v>7</v>
      </c>
      <c r="AH16" s="25" t="s">
        <v>8</v>
      </c>
      <c r="AI16" s="32" t="s">
        <v>9</v>
      </c>
    </row>
    <row r="17" spans="3:39" ht="15" thickBot="1" x14ac:dyDescent="0.4">
      <c r="D17" t="s">
        <v>15</v>
      </c>
      <c r="O17" t="s">
        <v>1</v>
      </c>
      <c r="P17" s="19"/>
      <c r="Q17" s="4"/>
      <c r="R17" s="4"/>
      <c r="S17" s="4">
        <f>S15</f>
        <v>5</v>
      </c>
      <c r="T17" s="20">
        <f>T15</f>
        <v>0</v>
      </c>
      <c r="U17">
        <f t="shared" si="2"/>
        <v>5</v>
      </c>
      <c r="V17">
        <v>5</v>
      </c>
      <c r="W17">
        <f>V17-U17</f>
        <v>0</v>
      </c>
      <c r="Z17">
        <v>5</v>
      </c>
      <c r="AE17" t="s">
        <v>5</v>
      </c>
      <c r="AF17" s="33">
        <v>10</v>
      </c>
      <c r="AG17" s="34">
        <v>11</v>
      </c>
      <c r="AH17" s="34">
        <v>11</v>
      </c>
      <c r="AI17" s="35">
        <v>3</v>
      </c>
      <c r="AK17">
        <f t="shared" ref="AK17:AK21" si="3">SUM(AF17:AJ17)</f>
        <v>35</v>
      </c>
    </row>
    <row r="18" spans="3:39" x14ac:dyDescent="0.35">
      <c r="O18" t="s">
        <v>2</v>
      </c>
      <c r="P18" s="19">
        <f>P15</f>
        <v>2</v>
      </c>
      <c r="Q18" s="4">
        <f>Q15</f>
        <v>5</v>
      </c>
      <c r="R18" s="4"/>
      <c r="S18" s="4">
        <f>S15</f>
        <v>5</v>
      </c>
      <c r="T18" s="19">
        <f>T15</f>
        <v>0</v>
      </c>
      <c r="U18">
        <f t="shared" si="2"/>
        <v>12</v>
      </c>
      <c r="V18">
        <v>12</v>
      </c>
      <c r="W18">
        <f>V18-U18</f>
        <v>0</v>
      </c>
      <c r="Z18">
        <v>10</v>
      </c>
      <c r="AE18" t="s">
        <v>4</v>
      </c>
      <c r="AF18" s="16">
        <f>AF17</f>
        <v>10</v>
      </c>
      <c r="AG18" s="17" t="s">
        <v>19</v>
      </c>
      <c r="AH18" s="17">
        <f>AH17</f>
        <v>11</v>
      </c>
      <c r="AI18" s="18">
        <f>AI17</f>
        <v>3</v>
      </c>
      <c r="AK18">
        <f t="shared" si="3"/>
        <v>24</v>
      </c>
      <c r="AL18">
        <v>24</v>
      </c>
      <c r="AM18">
        <f>AL18-AK18</f>
        <v>0</v>
      </c>
    </row>
    <row r="19" spans="3:39" x14ac:dyDescent="0.35">
      <c r="O19" t="s">
        <v>3</v>
      </c>
      <c r="P19" s="19">
        <f>P15</f>
        <v>2</v>
      </c>
      <c r="Q19" s="4">
        <f>Q15</f>
        <v>5</v>
      </c>
      <c r="R19" s="4"/>
      <c r="S19" s="4"/>
      <c r="T19" s="19">
        <f>T15</f>
        <v>0</v>
      </c>
      <c r="U19">
        <f t="shared" si="2"/>
        <v>7</v>
      </c>
      <c r="V19">
        <v>7</v>
      </c>
      <c r="W19">
        <f>V19-U19</f>
        <v>0</v>
      </c>
      <c r="Z19">
        <v>5</v>
      </c>
      <c r="AE19" t="s">
        <v>1</v>
      </c>
      <c r="AF19" s="19">
        <f>AF17</f>
        <v>10</v>
      </c>
      <c r="AG19" s="4">
        <f>AG17</f>
        <v>11</v>
      </c>
      <c r="AH19" s="4"/>
      <c r="AI19" s="20"/>
      <c r="AK19">
        <f t="shared" si="3"/>
        <v>21</v>
      </c>
      <c r="AL19">
        <v>21</v>
      </c>
      <c r="AM19">
        <f>AL19-AK19</f>
        <v>0</v>
      </c>
    </row>
    <row r="20" spans="3:39" ht="15" thickBot="1" x14ac:dyDescent="0.4">
      <c r="O20" t="s">
        <v>18</v>
      </c>
      <c r="P20" s="21">
        <f>P15</f>
        <v>2</v>
      </c>
      <c r="Q20" s="22"/>
      <c r="R20" s="22">
        <f>R15</f>
        <v>0</v>
      </c>
      <c r="S20" s="22"/>
      <c r="T20" s="21">
        <f>T15</f>
        <v>0</v>
      </c>
      <c r="U20">
        <f t="shared" si="2"/>
        <v>2</v>
      </c>
      <c r="V20">
        <v>2</v>
      </c>
      <c r="W20">
        <f>V20-U20</f>
        <v>0</v>
      </c>
      <c r="Z20">
        <v>0</v>
      </c>
      <c r="AE20" t="s">
        <v>2</v>
      </c>
      <c r="AF20" s="19">
        <f>AF17</f>
        <v>10</v>
      </c>
      <c r="AG20" s="4"/>
      <c r="AH20" s="4"/>
      <c r="AI20" s="20">
        <f>AI17</f>
        <v>3</v>
      </c>
      <c r="AK20">
        <f t="shared" si="3"/>
        <v>13</v>
      </c>
      <c r="AL20">
        <v>13</v>
      </c>
      <c r="AM20">
        <f>AL20-AK20</f>
        <v>0</v>
      </c>
    </row>
    <row r="21" spans="3:39" ht="15" thickBot="1" x14ac:dyDescent="0.4">
      <c r="AE21" t="s">
        <v>3</v>
      </c>
      <c r="AF21" s="21"/>
      <c r="AG21" s="22">
        <f>AG17</f>
        <v>11</v>
      </c>
      <c r="AH21" s="22">
        <f>AH17</f>
        <v>11</v>
      </c>
      <c r="AI21" s="23"/>
      <c r="AK21">
        <f t="shared" si="3"/>
        <v>22</v>
      </c>
      <c r="AL21">
        <v>22</v>
      </c>
      <c r="AM21">
        <f>AL21-AK21</f>
        <v>0</v>
      </c>
    </row>
    <row r="24" spans="3:39" x14ac:dyDescent="0.35">
      <c r="D24" s="2" t="s">
        <v>6</v>
      </c>
      <c r="E24" s="2" t="s">
        <v>7</v>
      </c>
      <c r="F24" s="2" t="s">
        <v>8</v>
      </c>
      <c r="G24" s="2" t="s">
        <v>9</v>
      </c>
      <c r="H24" s="2" t="s">
        <v>10</v>
      </c>
      <c r="I24" s="2" t="s">
        <v>11</v>
      </c>
    </row>
    <row r="25" spans="3:39" x14ac:dyDescent="0.35">
      <c r="C25" t="s">
        <v>5</v>
      </c>
      <c r="D25" s="8">
        <f>K27-G25</f>
        <v>5</v>
      </c>
      <c r="E25" s="3">
        <v>1</v>
      </c>
      <c r="F25" s="3">
        <v>3</v>
      </c>
      <c r="G25" s="5">
        <f>K26-F25</f>
        <v>0</v>
      </c>
      <c r="H25" s="8">
        <f>K29-E29-D29</f>
        <v>1</v>
      </c>
      <c r="I25" s="8">
        <f>K28-F28-E28</f>
        <v>0</v>
      </c>
      <c r="J25">
        <f>SUM(D25:I25)</f>
        <v>10</v>
      </c>
    </row>
    <row r="26" spans="3:39" ht="18" x14ac:dyDescent="0.35">
      <c r="C26" t="s">
        <v>4</v>
      </c>
      <c r="D26" s="4"/>
      <c r="E26" s="4"/>
      <c r="F26" s="4">
        <f>F25</f>
        <v>3</v>
      </c>
      <c r="G26" s="4">
        <f>G25</f>
        <v>0</v>
      </c>
      <c r="H26" s="4"/>
      <c r="I26" s="4"/>
      <c r="J26">
        <f>SUM(D26:I26)</f>
        <v>3</v>
      </c>
      <c r="K26">
        <v>3</v>
      </c>
      <c r="L26">
        <f>K26-J26</f>
        <v>0</v>
      </c>
      <c r="O26" s="31" t="s">
        <v>21</v>
      </c>
    </row>
    <row r="27" spans="3:39" ht="15" thickBot="1" x14ac:dyDescent="0.4">
      <c r="C27" t="s">
        <v>1</v>
      </c>
      <c r="D27" s="4">
        <f>D25</f>
        <v>5</v>
      </c>
      <c r="E27" s="4"/>
      <c r="F27" s="4"/>
      <c r="G27" s="4">
        <f>G25</f>
        <v>0</v>
      </c>
      <c r="H27" s="4"/>
      <c r="I27" s="4"/>
      <c r="J27">
        <f>SUM(D27:I27)</f>
        <v>5</v>
      </c>
      <c r="K27">
        <v>5</v>
      </c>
      <c r="L27">
        <f>K27-J27</f>
        <v>0</v>
      </c>
    </row>
    <row r="28" spans="3:39" ht="15" thickBot="1" x14ac:dyDescent="0.4">
      <c r="C28" t="s">
        <v>2</v>
      </c>
      <c r="D28" s="4"/>
      <c r="E28" s="4">
        <f>E25</f>
        <v>1</v>
      </c>
      <c r="F28" s="4">
        <f>F25</f>
        <v>3</v>
      </c>
      <c r="G28" s="4"/>
      <c r="H28" s="4"/>
      <c r="I28" s="4">
        <f>I25</f>
        <v>0</v>
      </c>
      <c r="J28">
        <f>SUM(D28:I28)</f>
        <v>4</v>
      </c>
      <c r="K28">
        <v>4</v>
      </c>
      <c r="L28">
        <f>K28-J28</f>
        <v>0</v>
      </c>
      <c r="P28" s="24" t="s">
        <v>6</v>
      </c>
      <c r="Q28" s="25" t="s">
        <v>7</v>
      </c>
      <c r="R28" s="25" t="s">
        <v>8</v>
      </c>
      <c r="S28" s="25" t="s">
        <v>9</v>
      </c>
      <c r="T28" s="25"/>
    </row>
    <row r="29" spans="3:39" ht="15" thickBot="1" x14ac:dyDescent="0.4">
      <c r="C29" t="s">
        <v>3</v>
      </c>
      <c r="D29" s="4">
        <f>D25</f>
        <v>5</v>
      </c>
      <c r="E29" s="4">
        <f>E25</f>
        <v>1</v>
      </c>
      <c r="F29" s="4"/>
      <c r="G29" s="4"/>
      <c r="H29" s="4">
        <f>H25</f>
        <v>1</v>
      </c>
      <c r="I29" s="4"/>
      <c r="J29">
        <f>SUM(D29:I29)</f>
        <v>7</v>
      </c>
      <c r="K29">
        <v>7</v>
      </c>
      <c r="L29">
        <f>K29-J29</f>
        <v>0</v>
      </c>
      <c r="O29" t="s">
        <v>5</v>
      </c>
      <c r="P29" s="13">
        <v>5</v>
      </c>
      <c r="Q29" s="14">
        <v>0</v>
      </c>
      <c r="R29" s="14">
        <v>5</v>
      </c>
      <c r="S29" s="15">
        <v>1</v>
      </c>
      <c r="T29" s="15"/>
      <c r="U29">
        <f t="shared" ref="U29:U35" si="4">SUM(P29:T29)</f>
        <v>11</v>
      </c>
    </row>
    <row r="30" spans="3:39" ht="18" x14ac:dyDescent="0.4">
      <c r="O30" t="s">
        <v>4</v>
      </c>
      <c r="P30" s="16">
        <f>P29</f>
        <v>5</v>
      </c>
      <c r="Q30" s="16">
        <f>Q29</f>
        <v>0</v>
      </c>
      <c r="R30" s="17">
        <f>R29</f>
        <v>5</v>
      </c>
      <c r="S30" s="16"/>
      <c r="T30" s="16"/>
      <c r="U30">
        <f t="shared" si="4"/>
        <v>10</v>
      </c>
      <c r="V30">
        <v>10</v>
      </c>
      <c r="W30">
        <f t="shared" ref="W30:W35" si="5">V30-U30</f>
        <v>0</v>
      </c>
      <c r="AG30" s="1"/>
    </row>
    <row r="31" spans="3:39" x14ac:dyDescent="0.35">
      <c r="O31" t="s">
        <v>1</v>
      </c>
      <c r="P31" s="19">
        <f>P29</f>
        <v>5</v>
      </c>
      <c r="Q31" s="4"/>
      <c r="R31" s="19">
        <f>R29</f>
        <v>5</v>
      </c>
      <c r="S31" s="20">
        <f>S29</f>
        <v>1</v>
      </c>
      <c r="T31" s="20"/>
      <c r="U31">
        <f t="shared" si="4"/>
        <v>11</v>
      </c>
      <c r="V31">
        <v>11</v>
      </c>
      <c r="W31">
        <f t="shared" si="5"/>
        <v>0</v>
      </c>
    </row>
    <row r="32" spans="3:39" x14ac:dyDescent="0.35">
      <c r="O32" t="s">
        <v>2</v>
      </c>
      <c r="P32" s="19">
        <f>P29</f>
        <v>5</v>
      </c>
      <c r="Q32" s="4"/>
      <c r="R32" s="19">
        <f>R29</f>
        <v>5</v>
      </c>
      <c r="S32" s="19">
        <f>S29</f>
        <v>1</v>
      </c>
      <c r="T32" s="19"/>
      <c r="U32">
        <f t="shared" si="4"/>
        <v>11</v>
      </c>
      <c r="V32">
        <v>11</v>
      </c>
      <c r="W32">
        <f t="shared" si="5"/>
        <v>0</v>
      </c>
    </row>
    <row r="33" spans="3:24" x14ac:dyDescent="0.35">
      <c r="O33" t="s">
        <v>3</v>
      </c>
      <c r="P33" s="19">
        <f>P29</f>
        <v>5</v>
      </c>
      <c r="Q33" s="4">
        <f>Q29</f>
        <v>0</v>
      </c>
      <c r="R33" s="4"/>
      <c r="S33" s="19"/>
      <c r="T33" s="19"/>
      <c r="U33">
        <f t="shared" si="4"/>
        <v>5</v>
      </c>
      <c r="V33">
        <v>5</v>
      </c>
      <c r="W33">
        <f t="shared" si="5"/>
        <v>0</v>
      </c>
    </row>
    <row r="34" spans="3:24" ht="15" thickBot="1" x14ac:dyDescent="0.4">
      <c r="O34" t="s">
        <v>18</v>
      </c>
      <c r="P34" s="21">
        <f>P29</f>
        <v>5</v>
      </c>
      <c r="Q34" s="21">
        <f>Q29</f>
        <v>0</v>
      </c>
      <c r="R34" s="22">
        <f>R29</f>
        <v>5</v>
      </c>
      <c r="S34" s="21"/>
      <c r="T34" s="21"/>
      <c r="U34">
        <f t="shared" si="4"/>
        <v>10</v>
      </c>
      <c r="V34">
        <v>10</v>
      </c>
      <c r="W34">
        <f t="shared" si="5"/>
        <v>0</v>
      </c>
    </row>
    <row r="35" spans="3:24" ht="15" thickBot="1" x14ac:dyDescent="0.4">
      <c r="O35" t="s">
        <v>22</v>
      </c>
      <c r="P35" s="21"/>
      <c r="Q35" s="21"/>
      <c r="R35" s="21">
        <f>R29</f>
        <v>5</v>
      </c>
      <c r="S35" s="21"/>
      <c r="T35" s="21"/>
      <c r="U35">
        <f t="shared" si="4"/>
        <v>5</v>
      </c>
      <c r="V35">
        <v>5</v>
      </c>
      <c r="W35">
        <f t="shared" si="5"/>
        <v>0</v>
      </c>
    </row>
    <row r="37" spans="3:24" x14ac:dyDescent="0.35">
      <c r="D37" s="2" t="s">
        <v>6</v>
      </c>
      <c r="E37" s="2"/>
      <c r="F37" s="2"/>
      <c r="G37" s="2" t="s">
        <v>9</v>
      </c>
      <c r="H37" s="2" t="s">
        <v>10</v>
      </c>
      <c r="I37" s="2" t="s">
        <v>11</v>
      </c>
    </row>
    <row r="38" spans="3:24" x14ac:dyDescent="0.35">
      <c r="C38" t="s">
        <v>5</v>
      </c>
      <c r="D38" s="8">
        <f>K40-G38</f>
        <v>2</v>
      </c>
      <c r="E38" s="3"/>
      <c r="F38" s="3"/>
      <c r="G38" s="5">
        <f>K39-F38</f>
        <v>3</v>
      </c>
      <c r="H38" s="8">
        <f>K42-E42-D42</f>
        <v>5</v>
      </c>
      <c r="I38" s="8">
        <f>K41-F41-E41</f>
        <v>4</v>
      </c>
      <c r="J38">
        <f>SUM(D38:I38)</f>
        <v>14</v>
      </c>
    </row>
    <row r="39" spans="3:24" x14ac:dyDescent="0.35">
      <c r="C39" t="s">
        <v>4</v>
      </c>
      <c r="D39" s="4"/>
      <c r="E39" s="4"/>
      <c r="F39" s="4"/>
      <c r="G39" s="4">
        <f>G38</f>
        <v>3</v>
      </c>
      <c r="H39" s="4"/>
      <c r="I39" s="4"/>
      <c r="J39">
        <f>SUM(D39:I39)</f>
        <v>3</v>
      </c>
      <c r="K39">
        <v>3</v>
      </c>
      <c r="L39">
        <f>K39-J39</f>
        <v>0</v>
      </c>
    </row>
    <row r="40" spans="3:24" x14ac:dyDescent="0.35">
      <c r="C40" t="s">
        <v>1</v>
      </c>
      <c r="D40" s="4">
        <f>D38</f>
        <v>2</v>
      </c>
      <c r="E40" s="4"/>
      <c r="F40" s="4"/>
      <c r="G40" s="4">
        <f>G38</f>
        <v>3</v>
      </c>
      <c r="H40" s="4"/>
      <c r="I40" s="4"/>
      <c r="J40">
        <f>SUM(D40:I40)</f>
        <v>5</v>
      </c>
      <c r="K40">
        <v>5</v>
      </c>
      <c r="L40">
        <f>K40-J40</f>
        <v>0</v>
      </c>
    </row>
    <row r="41" spans="3:24" ht="18" x14ac:dyDescent="0.4">
      <c r="C41" t="s">
        <v>2</v>
      </c>
      <c r="D41" s="4"/>
      <c r="E41" s="4"/>
      <c r="F41" s="4"/>
      <c r="G41" s="4"/>
      <c r="H41" s="4"/>
      <c r="I41" s="4">
        <f>I38</f>
        <v>4</v>
      </c>
      <c r="J41">
        <f>SUM(D41:I41)</f>
        <v>4</v>
      </c>
      <c r="K41">
        <v>4</v>
      </c>
      <c r="L41">
        <f>K41-J41</f>
        <v>0</v>
      </c>
      <c r="O41" s="1" t="s">
        <v>27</v>
      </c>
    </row>
    <row r="42" spans="3:24" ht="15" thickBot="1" x14ac:dyDescent="0.4">
      <c r="C42" t="s">
        <v>3</v>
      </c>
      <c r="D42" s="4">
        <f>D38</f>
        <v>2</v>
      </c>
      <c r="E42" s="4"/>
      <c r="F42" s="4"/>
      <c r="G42" s="4"/>
      <c r="H42" s="4">
        <f>H38</f>
        <v>5</v>
      </c>
      <c r="I42" s="4"/>
      <c r="J42">
        <f>SUM(D42:I42)</f>
        <v>7</v>
      </c>
      <c r="K42">
        <v>7</v>
      </c>
      <c r="L42">
        <f>K42-J42</f>
        <v>0</v>
      </c>
    </row>
    <row r="43" spans="3:24" ht="15" thickBot="1" x14ac:dyDescent="0.4">
      <c r="P43" s="24" t="s">
        <v>6</v>
      </c>
      <c r="Q43" s="25" t="s">
        <v>7</v>
      </c>
      <c r="R43" s="25" t="s">
        <v>8</v>
      </c>
      <c r="S43" s="32" t="s">
        <v>9</v>
      </c>
      <c r="T43" s="32" t="s">
        <v>10</v>
      </c>
      <c r="U43" s="32" t="s">
        <v>11</v>
      </c>
    </row>
    <row r="44" spans="3:24" ht="15" thickBot="1" x14ac:dyDescent="0.4">
      <c r="O44" t="s">
        <v>5</v>
      </c>
      <c r="P44" s="33">
        <v>0</v>
      </c>
      <c r="Q44" s="34">
        <v>16</v>
      </c>
      <c r="R44" s="34">
        <v>31</v>
      </c>
      <c r="S44" s="35">
        <v>29</v>
      </c>
      <c r="T44" s="35">
        <v>0</v>
      </c>
      <c r="U44" s="35">
        <v>7</v>
      </c>
      <c r="V44">
        <f>SUM(P44:U44)</f>
        <v>83</v>
      </c>
    </row>
    <row r="45" spans="3:24" x14ac:dyDescent="0.35">
      <c r="O45" t="s">
        <v>4</v>
      </c>
      <c r="P45" s="16">
        <f>P44</f>
        <v>0</v>
      </c>
      <c r="Q45" s="17" t="s">
        <v>19</v>
      </c>
      <c r="R45" s="17">
        <f>R44</f>
        <v>31</v>
      </c>
      <c r="S45" s="17"/>
      <c r="T45" s="17">
        <f>T44</f>
        <v>0</v>
      </c>
      <c r="U45" s="18"/>
      <c r="V45">
        <f>SUM(P45:U45)</f>
        <v>31</v>
      </c>
      <c r="W45">
        <v>31</v>
      </c>
      <c r="X45">
        <f>W45-V45</f>
        <v>0</v>
      </c>
    </row>
    <row r="46" spans="3:24" ht="15" thickBot="1" x14ac:dyDescent="0.4">
      <c r="O46" t="s">
        <v>1</v>
      </c>
      <c r="P46" s="19"/>
      <c r="Q46" s="4"/>
      <c r="R46" s="4"/>
      <c r="S46" s="4">
        <f>S44</f>
        <v>29</v>
      </c>
      <c r="T46" s="4">
        <f>T44</f>
        <v>0</v>
      </c>
      <c r="U46" s="4">
        <f>U44</f>
        <v>7</v>
      </c>
      <c r="V46">
        <f>SUM(P46:U46)</f>
        <v>36</v>
      </c>
      <c r="W46">
        <v>36</v>
      </c>
      <c r="X46">
        <f>W46-V46</f>
        <v>0</v>
      </c>
    </row>
    <row r="47" spans="3:24" ht="15" thickBot="1" x14ac:dyDescent="0.4">
      <c r="D47" s="9" t="s">
        <v>6</v>
      </c>
      <c r="E47" s="10" t="s">
        <v>7</v>
      </c>
      <c r="F47" s="11" t="s">
        <v>8</v>
      </c>
      <c r="G47" s="10" t="s">
        <v>9</v>
      </c>
      <c r="H47" s="10" t="s">
        <v>10</v>
      </c>
      <c r="I47" s="12" t="s">
        <v>11</v>
      </c>
      <c r="O47" t="s">
        <v>2</v>
      </c>
      <c r="P47" s="19">
        <f>P44</f>
        <v>0</v>
      </c>
      <c r="Q47" s="4">
        <f>Q44</f>
        <v>16</v>
      </c>
      <c r="R47" s="4">
        <f>R44</f>
        <v>31</v>
      </c>
      <c r="S47" s="4"/>
      <c r="T47" s="4"/>
      <c r="U47" s="20"/>
      <c r="V47">
        <f>SUM(P47:U47)</f>
        <v>47</v>
      </c>
      <c r="W47">
        <v>47</v>
      </c>
      <c r="X47">
        <f>W47-V47</f>
        <v>0</v>
      </c>
    </row>
    <row r="48" spans="3:24" ht="15" thickBot="1" x14ac:dyDescent="0.4">
      <c r="C48" t="s">
        <v>5</v>
      </c>
      <c r="D48" s="13">
        <v>1</v>
      </c>
      <c r="E48" s="14">
        <v>5</v>
      </c>
      <c r="F48" s="14">
        <v>0</v>
      </c>
      <c r="G48" s="14">
        <v>1</v>
      </c>
      <c r="H48" s="14">
        <v>3</v>
      </c>
      <c r="I48" s="15">
        <v>0</v>
      </c>
      <c r="J48">
        <f>SUM(D48:I48)</f>
        <v>10</v>
      </c>
      <c r="O48" t="s">
        <v>3</v>
      </c>
      <c r="P48" s="21"/>
      <c r="Q48" s="22"/>
      <c r="R48" s="22">
        <f>R44</f>
        <v>31</v>
      </c>
      <c r="S48" s="22"/>
      <c r="T48" s="22"/>
      <c r="U48" s="23">
        <f>U44</f>
        <v>7</v>
      </c>
      <c r="V48">
        <f>SUM(P48:U48)</f>
        <v>38</v>
      </c>
      <c r="W48">
        <v>38</v>
      </c>
      <c r="X48">
        <f>W48-V48</f>
        <v>0</v>
      </c>
    </row>
    <row r="49" spans="3:24" x14ac:dyDescent="0.35">
      <c r="C49" t="s">
        <v>4</v>
      </c>
      <c r="D49" s="16"/>
      <c r="E49" s="17"/>
      <c r="F49" s="17"/>
      <c r="G49" s="17"/>
      <c r="H49" s="17">
        <f>H48</f>
        <v>3</v>
      </c>
      <c r="I49" s="18">
        <f>I48</f>
        <v>0</v>
      </c>
      <c r="J49">
        <f>SUM(D49:I49)</f>
        <v>3</v>
      </c>
      <c r="K49">
        <v>3</v>
      </c>
      <c r="L49">
        <f>K49-J49</f>
        <v>0</v>
      </c>
    </row>
    <row r="50" spans="3:24" ht="15" thickBot="1" x14ac:dyDescent="0.4">
      <c r="C50" t="s">
        <v>1</v>
      </c>
      <c r="D50" s="19"/>
      <c r="E50" s="4">
        <f>E48</f>
        <v>5</v>
      </c>
      <c r="F50" s="4"/>
      <c r="G50" s="4"/>
      <c r="H50" s="4"/>
      <c r="I50" s="20">
        <f>I48</f>
        <v>0</v>
      </c>
      <c r="J50">
        <f>SUM(D50:I50)</f>
        <v>5</v>
      </c>
      <c r="K50">
        <v>5</v>
      </c>
      <c r="L50">
        <f>K50-J50</f>
        <v>0</v>
      </c>
    </row>
    <row r="51" spans="3:24" ht="15" thickBot="1" x14ac:dyDescent="0.4">
      <c r="C51" t="s">
        <v>2</v>
      </c>
      <c r="D51" s="19"/>
      <c r="E51" s="4"/>
      <c r="F51" s="4">
        <f>F48</f>
        <v>0</v>
      </c>
      <c r="G51" s="4">
        <f>G48</f>
        <v>1</v>
      </c>
      <c r="H51" s="4">
        <f>H48</f>
        <v>3</v>
      </c>
      <c r="I51" s="20"/>
      <c r="J51">
        <f>SUM(D51:I51)</f>
        <v>4</v>
      </c>
      <c r="K51">
        <v>4</v>
      </c>
      <c r="L51">
        <f>K51-J51</f>
        <v>0</v>
      </c>
      <c r="P51" s="24" t="s">
        <v>6</v>
      </c>
      <c r="Q51" s="25" t="s">
        <v>7</v>
      </c>
      <c r="R51" s="25" t="s">
        <v>8</v>
      </c>
      <c r="S51" s="32" t="s">
        <v>9</v>
      </c>
      <c r="T51" s="32" t="s">
        <v>10</v>
      </c>
      <c r="U51" s="32" t="s">
        <v>11</v>
      </c>
    </row>
    <row r="52" spans="3:24" ht="15" thickBot="1" x14ac:dyDescent="0.4">
      <c r="C52" t="s">
        <v>3</v>
      </c>
      <c r="D52" s="21">
        <f>D48</f>
        <v>1</v>
      </c>
      <c r="E52" s="22">
        <f>E48</f>
        <v>5</v>
      </c>
      <c r="F52" s="22"/>
      <c r="G52" s="22">
        <f>G48</f>
        <v>1</v>
      </c>
      <c r="H52" s="22"/>
      <c r="I52" s="23"/>
      <c r="J52">
        <f>SUM(D52:I52)</f>
        <v>7</v>
      </c>
      <c r="K52">
        <v>7</v>
      </c>
      <c r="L52">
        <f>K52-J52</f>
        <v>0</v>
      </c>
      <c r="O52" t="s">
        <v>5</v>
      </c>
      <c r="P52" s="33">
        <v>1</v>
      </c>
      <c r="Q52" s="34">
        <v>16</v>
      </c>
      <c r="R52" s="34">
        <v>30</v>
      </c>
      <c r="S52" s="35">
        <v>28</v>
      </c>
      <c r="T52" s="35">
        <v>0</v>
      </c>
      <c r="U52" s="35">
        <v>8</v>
      </c>
      <c r="V52">
        <f>SUM(P52:U52)</f>
        <v>83</v>
      </c>
    </row>
    <row r="53" spans="3:24" x14ac:dyDescent="0.35">
      <c r="O53" t="s">
        <v>4</v>
      </c>
      <c r="P53" s="16">
        <f>P52</f>
        <v>1</v>
      </c>
      <c r="Q53" s="17" t="s">
        <v>19</v>
      </c>
      <c r="R53" s="17">
        <f>R52</f>
        <v>30</v>
      </c>
      <c r="S53" s="17"/>
      <c r="T53" s="17">
        <f>T52</f>
        <v>0</v>
      </c>
      <c r="U53" s="18"/>
      <c r="V53">
        <f>SUM(P53:U53)</f>
        <v>31</v>
      </c>
      <c r="W53">
        <v>31</v>
      </c>
      <c r="X53">
        <f>W53-V53</f>
        <v>0</v>
      </c>
    </row>
    <row r="54" spans="3:24" x14ac:dyDescent="0.35">
      <c r="O54" t="s">
        <v>1</v>
      </c>
      <c r="P54" s="19"/>
      <c r="Q54" s="4"/>
      <c r="R54" s="4"/>
      <c r="S54" s="4">
        <f>S52</f>
        <v>28</v>
      </c>
      <c r="T54" s="4">
        <f>T52</f>
        <v>0</v>
      </c>
      <c r="U54" s="4">
        <f>U52</f>
        <v>8</v>
      </c>
      <c r="V54">
        <f>SUM(P54:U54)</f>
        <v>36</v>
      </c>
      <c r="W54">
        <v>36</v>
      </c>
      <c r="X54">
        <f>W54-V54</f>
        <v>0</v>
      </c>
    </row>
    <row r="55" spans="3:24" ht="15" thickBot="1" x14ac:dyDescent="0.4">
      <c r="O55" t="s">
        <v>2</v>
      </c>
      <c r="P55" s="19">
        <f>P52</f>
        <v>1</v>
      </c>
      <c r="Q55" s="4">
        <f>Q52</f>
        <v>16</v>
      </c>
      <c r="R55" s="4">
        <f>R52</f>
        <v>30</v>
      </c>
      <c r="S55" s="4"/>
      <c r="T55" s="4"/>
      <c r="U55" s="20"/>
      <c r="V55">
        <f>SUM(P55:U55)</f>
        <v>47</v>
      </c>
      <c r="W55">
        <v>47</v>
      </c>
      <c r="X55">
        <f>W55-V55</f>
        <v>0</v>
      </c>
    </row>
    <row r="56" spans="3:24" ht="15" thickBot="1" x14ac:dyDescent="0.4">
      <c r="D56" s="9" t="s">
        <v>6</v>
      </c>
      <c r="E56" s="10" t="s">
        <v>7</v>
      </c>
      <c r="F56" s="11" t="s">
        <v>8</v>
      </c>
      <c r="G56" s="10" t="s">
        <v>9</v>
      </c>
      <c r="H56" s="10" t="s">
        <v>10</v>
      </c>
      <c r="I56" s="12" t="s">
        <v>11</v>
      </c>
      <c r="O56" t="s">
        <v>3</v>
      </c>
      <c r="P56" s="21"/>
      <c r="Q56" s="22"/>
      <c r="R56" s="22">
        <f>R52</f>
        <v>30</v>
      </c>
      <c r="S56" s="22"/>
      <c r="T56" s="22"/>
      <c r="U56" s="23">
        <f>U52</f>
        <v>8</v>
      </c>
      <c r="V56">
        <f>SUM(P56:U56)</f>
        <v>38</v>
      </c>
      <c r="W56">
        <v>38</v>
      </c>
      <c r="X56">
        <f>W56-V56</f>
        <v>0</v>
      </c>
    </row>
    <row r="57" spans="3:24" ht="15" thickBot="1" x14ac:dyDescent="0.4">
      <c r="C57" t="s">
        <v>5</v>
      </c>
      <c r="D57" s="13">
        <v>1</v>
      </c>
      <c r="E57" s="14">
        <v>5</v>
      </c>
      <c r="F57" s="14">
        <v>0</v>
      </c>
      <c r="G57" s="14">
        <v>0</v>
      </c>
      <c r="H57" s="14">
        <v>0</v>
      </c>
      <c r="I57" s="15">
        <v>0</v>
      </c>
      <c r="J57">
        <f>SUM(D57:I57)</f>
        <v>6</v>
      </c>
    </row>
    <row r="58" spans="3:24" x14ac:dyDescent="0.35">
      <c r="C58" t="s">
        <v>4</v>
      </c>
      <c r="D58" s="16"/>
      <c r="E58" s="17"/>
      <c r="F58" s="17"/>
      <c r="G58" s="17"/>
      <c r="H58" s="17">
        <f>H57</f>
        <v>0</v>
      </c>
      <c r="I58" s="18">
        <f>I57</f>
        <v>0</v>
      </c>
      <c r="J58">
        <f>SUM(D58:I58)</f>
        <v>0</v>
      </c>
      <c r="K58">
        <v>3</v>
      </c>
      <c r="L58">
        <f>K58-J58</f>
        <v>3</v>
      </c>
    </row>
    <row r="59" spans="3:24" x14ac:dyDescent="0.35">
      <c r="C59" t="s">
        <v>1</v>
      </c>
      <c r="D59" s="19"/>
      <c r="E59" s="4">
        <f>E57</f>
        <v>5</v>
      </c>
      <c r="F59" s="4"/>
      <c r="G59" s="4"/>
      <c r="H59" s="4"/>
      <c r="I59" s="20">
        <f>I57</f>
        <v>0</v>
      </c>
      <c r="J59">
        <f>SUM(D59:I59)</f>
        <v>5</v>
      </c>
      <c r="K59">
        <v>5</v>
      </c>
      <c r="L59">
        <f>K59-J59</f>
        <v>0</v>
      </c>
    </row>
    <row r="60" spans="3:24" ht="18" x14ac:dyDescent="0.4">
      <c r="C60" t="s">
        <v>2</v>
      </c>
      <c r="D60" s="19"/>
      <c r="E60" s="4"/>
      <c r="F60" s="4">
        <f>F57</f>
        <v>0</v>
      </c>
      <c r="G60" s="4">
        <f>G57</f>
        <v>0</v>
      </c>
      <c r="H60" s="4">
        <f>H57</f>
        <v>0</v>
      </c>
      <c r="I60" s="20"/>
      <c r="J60">
        <f>SUM(D60:I60)</f>
        <v>0</v>
      </c>
      <c r="K60">
        <v>4</v>
      </c>
      <c r="L60">
        <f>K60-J60</f>
        <v>4</v>
      </c>
      <c r="O60" s="1" t="s">
        <v>28</v>
      </c>
    </row>
    <row r="61" spans="3:24" ht="15" thickBot="1" x14ac:dyDescent="0.4">
      <c r="C61" t="s">
        <v>3</v>
      </c>
      <c r="D61" s="21">
        <f>D57</f>
        <v>1</v>
      </c>
      <c r="E61" s="22">
        <f>E57</f>
        <v>5</v>
      </c>
      <c r="F61" s="22"/>
      <c r="G61" s="22">
        <f>G57</f>
        <v>0</v>
      </c>
      <c r="H61" s="22"/>
      <c r="I61" s="23"/>
      <c r="J61">
        <f>SUM(D61:I61)</f>
        <v>6</v>
      </c>
      <c r="K61">
        <v>7</v>
      </c>
      <c r="L61">
        <f>K61-J61</f>
        <v>1</v>
      </c>
    </row>
    <row r="62" spans="3:24" ht="15" thickBot="1" x14ac:dyDescent="0.4">
      <c r="P62" s="24" t="s">
        <v>6</v>
      </c>
      <c r="Q62" s="25" t="s">
        <v>7</v>
      </c>
      <c r="R62" s="25" t="s">
        <v>8</v>
      </c>
      <c r="S62" s="32" t="s">
        <v>9</v>
      </c>
      <c r="T62" s="32" t="s">
        <v>10</v>
      </c>
      <c r="U62" s="32" t="s">
        <v>11</v>
      </c>
    </row>
    <row r="63" spans="3:24" ht="15" thickBot="1" x14ac:dyDescent="0.4">
      <c r="O63" t="s">
        <v>5</v>
      </c>
      <c r="P63" s="33">
        <v>12</v>
      </c>
      <c r="Q63" s="34">
        <v>17</v>
      </c>
      <c r="R63" s="34">
        <v>0</v>
      </c>
      <c r="S63" s="35">
        <v>12</v>
      </c>
      <c r="T63" s="35">
        <v>6</v>
      </c>
      <c r="U63" s="35">
        <v>15</v>
      </c>
      <c r="V63">
        <f>SUM(P63:U63)</f>
        <v>62</v>
      </c>
    </row>
    <row r="64" spans="3:24" x14ac:dyDescent="0.35">
      <c r="O64" t="s">
        <v>4</v>
      </c>
      <c r="P64" s="16">
        <f>P63</f>
        <v>12</v>
      </c>
      <c r="Q64" s="17">
        <f>Q63</f>
        <v>17</v>
      </c>
      <c r="R64" s="17">
        <f>R63</f>
        <v>0</v>
      </c>
      <c r="S64" s="17"/>
      <c r="T64" s="17"/>
      <c r="U64" s="18"/>
      <c r="V64">
        <f>SUM(P64:U64)</f>
        <v>29</v>
      </c>
      <c r="W64">
        <v>29</v>
      </c>
      <c r="X64">
        <f>W64-V64</f>
        <v>0</v>
      </c>
    </row>
    <row r="65" spans="15:25" x14ac:dyDescent="0.35">
      <c r="O65" t="s">
        <v>1</v>
      </c>
      <c r="P65" s="19"/>
      <c r="Q65" s="4">
        <f>Q63</f>
        <v>17</v>
      </c>
      <c r="R65" s="4">
        <f>R63</f>
        <v>0</v>
      </c>
      <c r="S65" s="4">
        <f>S63</f>
        <v>12</v>
      </c>
      <c r="T65" s="4">
        <f>T63</f>
        <v>6</v>
      </c>
      <c r="U65" s="20">
        <f>U63</f>
        <v>15</v>
      </c>
      <c r="V65">
        <f>SUM(P65:U65)</f>
        <v>50</v>
      </c>
      <c r="W65">
        <v>50</v>
      </c>
      <c r="X65">
        <f>W65-V65</f>
        <v>0</v>
      </c>
    </row>
    <row r="66" spans="15:25" x14ac:dyDescent="0.35">
      <c r="O66" t="s">
        <v>2</v>
      </c>
      <c r="P66" s="19">
        <f>P63</f>
        <v>12</v>
      </c>
      <c r="Q66" s="4"/>
      <c r="R66" s="4"/>
      <c r="S66" s="4"/>
      <c r="T66" s="4"/>
      <c r="U66" s="20"/>
      <c r="V66">
        <f>SUM(P66:U66)</f>
        <v>12</v>
      </c>
      <c r="W66">
        <v>12</v>
      </c>
      <c r="X66">
        <f>W66-V66</f>
        <v>0</v>
      </c>
    </row>
    <row r="67" spans="15:25" x14ac:dyDescent="0.35">
      <c r="O67" t="s">
        <v>3</v>
      </c>
      <c r="P67" s="19">
        <f>P63</f>
        <v>12</v>
      </c>
      <c r="Q67" s="4">
        <f>Q63</f>
        <v>17</v>
      </c>
      <c r="R67" s="4">
        <f>R63</f>
        <v>0</v>
      </c>
      <c r="S67" s="4"/>
      <c r="T67" s="4">
        <f>T63</f>
        <v>6</v>
      </c>
      <c r="U67" s="20"/>
      <c r="V67">
        <f>SUM(P67:U67)</f>
        <v>35</v>
      </c>
      <c r="W67">
        <v>35</v>
      </c>
      <c r="X67">
        <f>W67-V67</f>
        <v>0</v>
      </c>
    </row>
    <row r="68" spans="15:25" ht="15" thickBot="1" x14ac:dyDescent="0.4">
      <c r="O68" t="s">
        <v>18</v>
      </c>
      <c r="P68" s="21"/>
      <c r="Q68" s="22">
        <f>Q63</f>
        <v>17</v>
      </c>
      <c r="R68" s="22"/>
      <c r="S68" s="22"/>
      <c r="T68" s="22">
        <f>T63</f>
        <v>6</v>
      </c>
      <c r="U68" s="23">
        <f>U63</f>
        <v>15</v>
      </c>
      <c r="V68">
        <f>SUM(P68:U68)</f>
        <v>38</v>
      </c>
      <c r="W68">
        <v>38</v>
      </c>
      <c r="X68">
        <f>W68-V68</f>
        <v>0</v>
      </c>
    </row>
    <row r="72" spans="15:25" ht="18" x14ac:dyDescent="0.4">
      <c r="O72" s="1" t="s">
        <v>29</v>
      </c>
    </row>
    <row r="73" spans="15:25" ht="15" thickBot="1" x14ac:dyDescent="0.4"/>
    <row r="74" spans="15:25" x14ac:dyDescent="0.35">
      <c r="P74" s="36" t="s">
        <v>6</v>
      </c>
      <c r="Q74" s="37" t="s">
        <v>7</v>
      </c>
      <c r="R74" s="37" t="s">
        <v>8</v>
      </c>
      <c r="S74" s="37" t="s">
        <v>9</v>
      </c>
      <c r="T74" s="37" t="s">
        <v>10</v>
      </c>
      <c r="U74" s="37" t="s">
        <v>11</v>
      </c>
      <c r="V74" s="38" t="s">
        <v>11</v>
      </c>
    </row>
    <row r="75" spans="15:25" ht="15" thickBot="1" x14ac:dyDescent="0.4">
      <c r="O75" t="s">
        <v>5</v>
      </c>
      <c r="P75" s="39">
        <v>13</v>
      </c>
      <c r="Q75" s="40">
        <v>0</v>
      </c>
      <c r="R75" s="40">
        <v>1</v>
      </c>
      <c r="S75" s="40">
        <v>34</v>
      </c>
      <c r="T75" s="40">
        <v>20</v>
      </c>
      <c r="U75" s="40">
        <v>23</v>
      </c>
      <c r="V75" s="41">
        <v>6</v>
      </c>
      <c r="W75">
        <f>SUM(P75:V75)</f>
        <v>97</v>
      </c>
    </row>
    <row r="76" spans="15:25" x14ac:dyDescent="0.35">
      <c r="O76" t="s">
        <v>4</v>
      </c>
      <c r="P76" s="16">
        <f>P75</f>
        <v>13</v>
      </c>
      <c r="Q76" s="17"/>
      <c r="R76" s="17">
        <f>R75</f>
        <v>1</v>
      </c>
      <c r="S76" s="17"/>
      <c r="T76" s="17"/>
      <c r="U76" s="17">
        <f>U75</f>
        <v>23</v>
      </c>
      <c r="V76" s="18"/>
      <c r="W76">
        <f>SUM(P76:V76)</f>
        <v>37</v>
      </c>
      <c r="X76">
        <v>37</v>
      </c>
      <c r="Y76">
        <f>X76-W76</f>
        <v>0</v>
      </c>
    </row>
    <row r="77" spans="15:25" x14ac:dyDescent="0.35">
      <c r="O77" t="s">
        <v>1</v>
      </c>
      <c r="P77" s="19">
        <f>P75</f>
        <v>13</v>
      </c>
      <c r="Q77" s="4">
        <f>Q75</f>
        <v>0</v>
      </c>
      <c r="R77" s="4"/>
      <c r="S77" s="4"/>
      <c r="T77" s="4"/>
      <c r="U77" s="4">
        <f>U75</f>
        <v>23</v>
      </c>
      <c r="V77" s="20"/>
      <c r="W77">
        <f t="shared" ref="W77:W82" si="6">SUM(P77:V77)</f>
        <v>36</v>
      </c>
      <c r="X77">
        <v>36</v>
      </c>
      <c r="Y77">
        <f>X77-W77</f>
        <v>0</v>
      </c>
    </row>
    <row r="78" spans="15:25" x14ac:dyDescent="0.35">
      <c r="O78" t="s">
        <v>2</v>
      </c>
      <c r="P78" s="19"/>
      <c r="Q78" s="4"/>
      <c r="R78" s="4">
        <f>R75</f>
        <v>1</v>
      </c>
      <c r="S78" s="4"/>
      <c r="T78" s="4"/>
      <c r="U78" s="4">
        <f>U75</f>
        <v>23</v>
      </c>
      <c r="V78" s="20"/>
      <c r="W78">
        <f t="shared" si="6"/>
        <v>24</v>
      </c>
      <c r="X78">
        <v>24</v>
      </c>
      <c r="Y78">
        <f>X78-W78</f>
        <v>0</v>
      </c>
    </row>
    <row r="79" spans="15:25" x14ac:dyDescent="0.35">
      <c r="O79" t="s">
        <v>3</v>
      </c>
      <c r="P79" s="19"/>
      <c r="Q79" s="4"/>
      <c r="R79" s="4"/>
      <c r="S79" s="4"/>
      <c r="T79" s="4">
        <f>T75</f>
        <v>20</v>
      </c>
      <c r="U79" s="4"/>
      <c r="V79" s="20">
        <f>V75</f>
        <v>6</v>
      </c>
      <c r="W79">
        <f t="shared" si="6"/>
        <v>26</v>
      </c>
      <c r="X79">
        <v>26</v>
      </c>
      <c r="Y79">
        <f>X79-W79</f>
        <v>0</v>
      </c>
    </row>
    <row r="80" spans="15:25" x14ac:dyDescent="0.35">
      <c r="O80" t="s">
        <v>18</v>
      </c>
      <c r="P80" s="19">
        <f>P75</f>
        <v>13</v>
      </c>
      <c r="Q80" s="4">
        <f>Q75</f>
        <v>0</v>
      </c>
      <c r="R80" s="4"/>
      <c r="S80" s="4"/>
      <c r="T80" s="4"/>
      <c r="U80" s="4">
        <f>U75</f>
        <v>23</v>
      </c>
      <c r="V80" s="20">
        <f>V75</f>
        <v>6</v>
      </c>
      <c r="W80">
        <f t="shared" si="6"/>
        <v>42</v>
      </c>
      <c r="X80">
        <v>42</v>
      </c>
      <c r="Y80">
        <f>X80-W80</f>
        <v>0</v>
      </c>
    </row>
    <row r="81" spans="15:25" x14ac:dyDescent="0.35">
      <c r="O81" t="s">
        <v>22</v>
      </c>
      <c r="P81" s="19">
        <f>P75</f>
        <v>13</v>
      </c>
      <c r="Q81" s="4"/>
      <c r="R81" s="4"/>
      <c r="S81" s="4"/>
      <c r="T81" s="4"/>
      <c r="U81" s="4"/>
      <c r="V81" s="20">
        <f>V75</f>
        <v>6</v>
      </c>
      <c r="W81">
        <f t="shared" si="6"/>
        <v>19</v>
      </c>
      <c r="X81">
        <v>19</v>
      </c>
      <c r="Y81">
        <f>X81-W81</f>
        <v>0</v>
      </c>
    </row>
    <row r="82" spans="15:25" ht="15" thickBot="1" x14ac:dyDescent="0.4">
      <c r="O82" t="s">
        <v>30</v>
      </c>
      <c r="P82" s="21">
        <f>P75</f>
        <v>13</v>
      </c>
      <c r="Q82" s="22">
        <f>Q75</f>
        <v>0</v>
      </c>
      <c r="R82" s="22">
        <f>R75</f>
        <v>1</v>
      </c>
      <c r="S82" s="22">
        <f>S75</f>
        <v>34</v>
      </c>
      <c r="T82" s="22">
        <f>T75</f>
        <v>20</v>
      </c>
      <c r="U82" s="22"/>
      <c r="V82" s="23">
        <f>V75</f>
        <v>6</v>
      </c>
      <c r="W82">
        <f t="shared" si="6"/>
        <v>74</v>
      </c>
      <c r="X82">
        <v>74</v>
      </c>
      <c r="Y82">
        <f>X82-W82</f>
        <v>0</v>
      </c>
    </row>
    <row r="86" spans="15:25" ht="18" x14ac:dyDescent="0.35">
      <c r="O86" s="31" t="s">
        <v>31</v>
      </c>
    </row>
    <row r="87" spans="15:25" ht="15" thickBot="1" x14ac:dyDescent="0.4"/>
    <row r="88" spans="15:25" x14ac:dyDescent="0.35">
      <c r="P88" s="36" t="s">
        <v>6</v>
      </c>
      <c r="Q88" s="37" t="s">
        <v>7</v>
      </c>
      <c r="R88" s="37" t="s">
        <v>8</v>
      </c>
      <c r="S88" s="37" t="s">
        <v>9</v>
      </c>
      <c r="T88" s="37" t="s">
        <v>10</v>
      </c>
      <c r="U88" s="37" t="s">
        <v>11</v>
      </c>
      <c r="V88" s="38" t="s">
        <v>11</v>
      </c>
    </row>
    <row r="89" spans="15:25" ht="15" thickBot="1" x14ac:dyDescent="0.4">
      <c r="O89" t="s">
        <v>5</v>
      </c>
      <c r="P89" s="39">
        <v>0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41">
        <v>0</v>
      </c>
      <c r="W89">
        <f>SUM(P89:V89)</f>
        <v>0</v>
      </c>
    </row>
    <row r="90" spans="15:25" x14ac:dyDescent="0.35">
      <c r="O90" t="s">
        <v>4</v>
      </c>
      <c r="P90" s="16"/>
      <c r="Q90" s="17">
        <f>Q89</f>
        <v>0</v>
      </c>
      <c r="R90" s="17">
        <f>R89</f>
        <v>0</v>
      </c>
      <c r="S90" s="17"/>
      <c r="T90" s="17">
        <f>T89</f>
        <v>0</v>
      </c>
      <c r="U90" s="17"/>
      <c r="V90" s="18"/>
      <c r="W90">
        <f>SUM(P90:V90)</f>
        <v>0</v>
      </c>
      <c r="X90">
        <v>45</v>
      </c>
      <c r="Y90">
        <f>X90-W90</f>
        <v>45</v>
      </c>
    </row>
    <row r="91" spans="15:25" x14ac:dyDescent="0.35">
      <c r="O91" t="s">
        <v>1</v>
      </c>
      <c r="P91" s="19"/>
      <c r="Q91" s="4"/>
      <c r="R91" s="4"/>
      <c r="S91" s="4">
        <f>S89</f>
        <v>0</v>
      </c>
      <c r="T91" s="4"/>
      <c r="U91" s="4"/>
      <c r="V91" s="20"/>
      <c r="W91">
        <f t="shared" ref="W91:W96" si="7">SUM(P91:V91)</f>
        <v>0</v>
      </c>
      <c r="X91">
        <v>36</v>
      </c>
      <c r="Y91">
        <f>X91-W91</f>
        <v>36</v>
      </c>
    </row>
    <row r="92" spans="15:25" x14ac:dyDescent="0.35">
      <c r="O92" t="s">
        <v>2</v>
      </c>
      <c r="P92" s="19">
        <f>P89</f>
        <v>0</v>
      </c>
      <c r="Q92" s="4"/>
      <c r="R92" s="4"/>
      <c r="S92" s="4"/>
      <c r="T92" s="4">
        <f>T89</f>
        <v>0</v>
      </c>
      <c r="U92" s="4">
        <f>U89</f>
        <v>0</v>
      </c>
      <c r="V92" s="20"/>
      <c r="W92">
        <f t="shared" si="7"/>
        <v>0</v>
      </c>
      <c r="X92">
        <v>41</v>
      </c>
      <c r="Y92">
        <f>X92-W92</f>
        <v>41</v>
      </c>
    </row>
    <row r="93" spans="15:25" x14ac:dyDescent="0.35">
      <c r="O93" t="s">
        <v>3</v>
      </c>
      <c r="P93" s="19">
        <f>P89</f>
        <v>0</v>
      </c>
      <c r="Q93" s="4"/>
      <c r="R93" s="4"/>
      <c r="S93" s="4">
        <f>S89</f>
        <v>0</v>
      </c>
      <c r="T93" s="4">
        <f>T89</f>
        <v>0</v>
      </c>
      <c r="U93" s="4">
        <f>U89</f>
        <v>0</v>
      </c>
      <c r="V93" s="20">
        <f>V89</f>
        <v>0</v>
      </c>
      <c r="W93">
        <f t="shared" si="7"/>
        <v>0</v>
      </c>
      <c r="X93">
        <v>62</v>
      </c>
      <c r="Y93">
        <f>X93-W93</f>
        <v>62</v>
      </c>
    </row>
    <row r="94" spans="15:25" x14ac:dyDescent="0.35">
      <c r="O94" t="s">
        <v>18</v>
      </c>
      <c r="P94" s="19"/>
      <c r="Q94" s="4"/>
      <c r="R94" s="4"/>
      <c r="S94" s="4"/>
      <c r="T94" s="4">
        <f>T89</f>
        <v>0</v>
      </c>
      <c r="U94" s="4"/>
      <c r="V94" s="20">
        <f>V89</f>
        <v>0</v>
      </c>
      <c r="W94">
        <f t="shared" si="7"/>
        <v>0</v>
      </c>
      <c r="X94">
        <v>20</v>
      </c>
      <c r="Y94">
        <f>X94-W94</f>
        <v>20</v>
      </c>
    </row>
    <row r="95" spans="15:25" x14ac:dyDescent="0.35">
      <c r="O95" t="s">
        <v>22</v>
      </c>
      <c r="P95" s="19"/>
      <c r="Q95" s="4"/>
      <c r="R95" s="4"/>
      <c r="S95" s="4">
        <f>S89</f>
        <v>0</v>
      </c>
      <c r="T95" s="4"/>
      <c r="U95" s="4"/>
      <c r="V95" s="20">
        <f>V89</f>
        <v>0</v>
      </c>
      <c r="W95">
        <f t="shared" si="7"/>
        <v>0</v>
      </c>
      <c r="X95">
        <v>34</v>
      </c>
      <c r="Y95">
        <f>X95-W95</f>
        <v>34</v>
      </c>
    </row>
    <row r="96" spans="15:25" x14ac:dyDescent="0.35">
      <c r="O96" t="s">
        <v>30</v>
      </c>
      <c r="P96" s="19"/>
      <c r="Q96" s="4"/>
      <c r="R96" s="4"/>
      <c r="S96" s="4">
        <f>S89</f>
        <v>0</v>
      </c>
      <c r="T96" s="4"/>
      <c r="U96" s="20">
        <f>U89</f>
        <v>0</v>
      </c>
      <c r="V96" s="20">
        <f>V89</f>
        <v>0</v>
      </c>
      <c r="W96">
        <f t="shared" si="7"/>
        <v>0</v>
      </c>
      <c r="X96">
        <v>51</v>
      </c>
      <c r="Y96">
        <f>X96-W96</f>
        <v>51</v>
      </c>
    </row>
    <row r="97" spans="15:25" x14ac:dyDescent="0.35">
      <c r="O97" t="s">
        <v>32</v>
      </c>
      <c r="P97" s="19">
        <f>P90</f>
        <v>0</v>
      </c>
      <c r="Q97" s="4"/>
      <c r="R97" s="4"/>
      <c r="S97" s="4">
        <f>S90</f>
        <v>0</v>
      </c>
      <c r="T97" s="4"/>
      <c r="U97" s="4"/>
      <c r="V97" s="20">
        <f>V90</f>
        <v>0</v>
      </c>
      <c r="W97">
        <f t="shared" ref="W97:W99" si="8">SUM(P97:V97)</f>
        <v>0</v>
      </c>
      <c r="X97">
        <v>51</v>
      </c>
      <c r="Y97">
        <f t="shared" ref="Y97:Y99" si="9">X97-W97</f>
        <v>51</v>
      </c>
    </row>
    <row r="98" spans="15:25" x14ac:dyDescent="0.35">
      <c r="O98" t="s">
        <v>33</v>
      </c>
      <c r="P98" s="19">
        <f>P91</f>
        <v>0</v>
      </c>
      <c r="Q98" s="4">
        <f>Q91</f>
        <v>0</v>
      </c>
      <c r="R98" s="4"/>
      <c r="S98" s="4">
        <f>S91</f>
        <v>0</v>
      </c>
      <c r="T98" s="4">
        <f>T91</f>
        <v>0</v>
      </c>
      <c r="U98" s="4"/>
      <c r="V98" s="20">
        <f>V91</f>
        <v>0</v>
      </c>
      <c r="W98">
        <f t="shared" si="8"/>
        <v>0</v>
      </c>
      <c r="X98">
        <v>33</v>
      </c>
      <c r="Y98">
        <f t="shared" si="9"/>
        <v>33</v>
      </c>
    </row>
    <row r="99" spans="15:25" ht="15" thickBot="1" x14ac:dyDescent="0.4">
      <c r="O99" t="s">
        <v>34</v>
      </c>
      <c r="P99" s="21">
        <f>P92</f>
        <v>0</v>
      </c>
      <c r="Q99" s="22"/>
      <c r="R99" s="22"/>
      <c r="S99" s="22"/>
      <c r="T99" s="22"/>
      <c r="U99" s="23">
        <f>U92</f>
        <v>0</v>
      </c>
      <c r="V99" s="23">
        <f>V92</f>
        <v>0</v>
      </c>
      <c r="W99">
        <f t="shared" si="8"/>
        <v>0</v>
      </c>
      <c r="X99">
        <v>55</v>
      </c>
      <c r="Y99">
        <f t="shared" si="9"/>
        <v>55</v>
      </c>
    </row>
  </sheetData>
  <pageMargins left="0.7" right="0.7" top="0.78740157499999996" bottom="0.78740157499999996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Hechler, Ferenc</dc:creator>
  <cp:lastModifiedBy>Hechler, Ferenc</cp:lastModifiedBy>
  <dcterms:created xsi:type="dcterms:W3CDTF">2025-12-10T07:49:59Z</dcterms:created>
  <dcterms:modified xsi:type="dcterms:W3CDTF">2025-12-12T00:44:34Z</dcterms:modified>
</cp:coreProperties>
</file>